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유닛이코노믹스" sheetId="2" state="visible" r:id="rId4"/>
    <sheet name="시나리오PL" sheetId="3" state="visible" r:id="rId5"/>
    <sheet name="12개월빌드업" sheetId="4" state="visible" r:id="rId6"/>
    <sheet name="손익분기_민감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<sst xmlns="http://schemas.openxmlformats.org/spreadsheetml/2006/main" count="165" uniqueCount="148">
  <si>
    <t xml:space="preserve">사주 궁합각 (v3) — 수익·마진 모델  [파란색=입력값, 검정=수식]</t>
  </si>
  <si>
    <t xml:space="preserve">① 공통 원가 파라미터</t>
  </si>
  <si>
    <t xml:space="preserve">환율 (₩/USD)</t>
  </si>
  <si>
    <t xml:space="preserve">자체 입력(현 시세 근사)</t>
  </si>
  <si>
    <t xml:space="preserve">Gemini 2.0 Flash — input ($/1M tok)</t>
  </si>
  <si>
    <t xml:space="preserve">출처: Gemini API Pricing 2026 (aicostcheck)</t>
  </si>
  <si>
    <t xml:space="preserve">Gemini 2.0 Flash — output ($/1M tok)</t>
  </si>
  <si>
    <t xml:space="preserve">Gemini 2.5 Flash — input ($/1M tok)</t>
  </si>
  <si>
    <t xml:space="preserve">Gemini 2.5 Flash — output ($/1M tok)</t>
  </si>
  <si>
    <t xml:space="preserve">재시도/사고토큰 버퍼 배수</t>
  </si>
  <si>
    <t xml:space="preserve">실측 전 보수적 2배 가정</t>
  </si>
  <si>
    <t xml:space="preserve">② 액션별 토큰 사용량</t>
  </si>
  <si>
    <t xml:space="preserve">input tok</t>
  </si>
  <si>
    <t xml:space="preserve">output tok</t>
  </si>
  <si>
    <t xml:space="preserve">모델</t>
  </si>
  <si>
    <t xml:space="preserve">무료궁합 (core)</t>
  </si>
  <si>
    <t xml:space="preserve">2.0F</t>
  </si>
  <si>
    <t xml:space="preserve">심층궁합 (프리미엄)</t>
  </si>
  <si>
    <t xml:space="preserve">2.5F</t>
  </si>
  <si>
    <t xml:space="preserve">관계코칭 (구독, 월 누적)</t>
  </si>
  <si>
    <t xml:space="preserve">월 150메시지 가정</t>
  </si>
  <si>
    <t xml:space="preserve">매칭 AI (구독, 월 누적)</t>
  </si>
  <si>
    <r>
      <rPr>
        <b val="true"/>
        <sz val="11"/>
        <color rgb="FFFFFFFF"/>
        <rFont val="Arial"/>
        <family val="0"/>
        <charset val="1"/>
      </rPr>
      <t xml:space="preserve">③ AI </t>
    </r>
    <r>
      <rPr>
        <b val="true"/>
        <sz val="11"/>
        <color rgb="FFFFFFFF"/>
        <rFont val="Noto Sans CJK SC"/>
        <family val="2"/>
      </rPr>
      <t xml:space="preserve">원가</t>
    </r>
    <r>
      <rPr>
        <b val="true"/>
        <sz val="11"/>
        <color rgb="FFFFFFFF"/>
        <rFont val="Arial"/>
        <family val="0"/>
        <charset val="1"/>
      </rPr>
      <t xml:space="preserve">(₩) — </t>
    </r>
    <r>
      <rPr>
        <b val="true"/>
        <sz val="11"/>
        <color rgb="FFFFFFFF"/>
        <rFont val="Noto Sans CJK SC"/>
        <family val="2"/>
      </rPr>
      <t xml:space="preserve">자동계산</t>
    </r>
  </si>
  <si>
    <t xml:space="preserve">무료궁합 1건</t>
  </si>
  <si>
    <t xml:space="preserve">심층궁합 1건</t>
  </si>
  <si>
    <t xml:space="preserve">관계코칭 1인·월</t>
  </si>
  <si>
    <t xml:space="preserve">매칭 AI 1인·월</t>
  </si>
  <si>
    <t xml:space="preserve">④ 기타 변동비</t>
  </si>
  <si>
    <t xml:space="preserve">결제 수수료율</t>
  </si>
  <si>
    <t xml:space="preserve">간편결제/PG 소형가맹 보수치 (출처: PortOne/토스)</t>
  </si>
  <si>
    <t xml:space="preserve">휴대폰 본인인증 (건/₩)</t>
  </si>
  <si>
    <t xml:space="preserve">매칭 가입 시 1회 (출처: NICE/통신사 근사)</t>
  </si>
  <si>
    <t xml:space="preserve">커머스 원가율(COGS)</t>
  </si>
  <si>
    <t xml:space="preserve">실물·제휴 굿즈 블렌디드(디지털 굿즈는 더 낮음)</t>
  </si>
  <si>
    <t xml:space="preserve">⑤ 가격 (₩)</t>
  </si>
  <si>
    <t xml:space="preserve">심층궁합 (단건)</t>
  </si>
  <si>
    <t xml:space="preserve">관계 구독 (월)</t>
  </si>
  <si>
    <t xml:space="preserve">매칭 구독 (월, 블렌디드)</t>
  </si>
  <si>
    <t xml:space="preserve">남 29,900 / 여 무료·할인 혼합</t>
  </si>
  <si>
    <t xml:space="preserve">커머스 객단가(AOV)</t>
  </si>
  <si>
    <t xml:space="preserve">⑥ 시나리오 퍼널 (월)</t>
  </si>
  <si>
    <t xml:space="preserve">보수(Base)</t>
  </si>
  <si>
    <t xml:space="preserve">성장(Growth)</t>
  </si>
  <si>
    <t xml:space="preserve">대목(월,Peak)</t>
  </si>
  <si>
    <t xml:space="preserve">신규 방문 / 월</t>
  </si>
  <si>
    <t xml:space="preserve">무료궁합 완료율</t>
  </si>
  <si>
    <t xml:space="preserve">심층궁합 전환율(완료대비)</t>
  </si>
  <si>
    <t xml:space="preserve">커머스 구매율(완료대비)</t>
  </si>
  <si>
    <t xml:space="preserve">관계구독 활성 수</t>
  </si>
  <si>
    <t xml:space="preserve">매칭구독 활성 수</t>
  </si>
  <si>
    <t xml:space="preserve">매칭은 여성 유동성 확보 후 개방(보수=미개방)</t>
  </si>
  <si>
    <t xml:space="preserve">매칭 신규/월(인증대상)</t>
  </si>
  <si>
    <t xml:space="preserve">⑦ 고정비 (월, ₩)</t>
  </si>
  <si>
    <t xml:space="preserve">보수</t>
  </si>
  <si>
    <t xml:space="preserve">성장</t>
  </si>
  <si>
    <t xml:space="preserve">대목</t>
  </si>
  <si>
    <t xml:space="preserve">인프라(서버·DB·Vercel)</t>
  </si>
  <si>
    <t xml:space="preserve">결제·인증 기본료</t>
  </si>
  <si>
    <t xml:space="preserve">마케팅(유료증폭·대목)</t>
  </si>
  <si>
    <t xml:space="preserve">툴·디자인·법무·기타</t>
  </si>
  <si>
    <t xml:space="preserve">고정비 합계</t>
  </si>
  <si>
    <t xml:space="preserve">※ 창업자 인건비 제외(영업이익=인건비 차감 전). 여성 CAC≈0(바이럴 궁합) 가정.</t>
  </si>
  <si>
    <t xml:space="preserve">상품별 유닛 이코노믹스 (건/월 단위 기여이익)</t>
  </si>
  <si>
    <t xml:space="preserve">상품</t>
  </si>
  <si>
    <t xml:space="preserve">가격(₩)</t>
  </si>
  <si>
    <r>
      <rPr>
        <b val="true"/>
        <sz val="11"/>
        <color rgb="FFFFFFFF"/>
        <rFont val="Arial"/>
        <family val="0"/>
        <charset val="1"/>
      </rPr>
      <t xml:space="preserve">AI</t>
    </r>
    <r>
      <rPr>
        <b val="true"/>
        <sz val="11"/>
        <color rgb="FFFFFFFF"/>
        <rFont val="Noto Sans CJK SC"/>
        <family val="2"/>
      </rPr>
      <t xml:space="preserve">원가</t>
    </r>
  </si>
  <si>
    <t xml:space="preserve">결제수수료</t>
  </si>
  <si>
    <t xml:space="preserve">기타변동</t>
  </si>
  <si>
    <t xml:space="preserve">기여이익</t>
  </si>
  <si>
    <t xml:space="preserve">기여이익률</t>
  </si>
  <si>
    <t xml:space="preserve">관계구독 (월/인)</t>
  </si>
  <si>
    <t xml:space="preserve">매칭구독 (월/인)</t>
  </si>
  <si>
    <t xml:space="preserve">커머스 (주문)</t>
  </si>
  <si>
    <t xml:space="preserve">무료궁합 (유입원가)</t>
  </si>
  <si>
    <t xml:space="preserve">—</t>
  </si>
  <si>
    <t xml:space="preserve">핵심: 디지털 상품이라 기여이익률 90%+ (커머스만 ~42%). 마진이 문제가 아니라 "볼륨(유입·전환)"이 전부.</t>
  </si>
  <si>
    <t xml:space="preserve">본인인증(₩50)은 매칭 최초 가입 1회만 → 월 기여이익에는 미반영, 시나리오 변동비에서 별도 계상.</t>
  </si>
  <si>
    <t xml:space="preserve">월간 손익(P&amp;L) — 시나리오 비교</t>
  </si>
  <si>
    <t xml:space="preserve">항목</t>
  </si>
  <si>
    <t xml:space="preserve">— 물량 —</t>
  </si>
  <si>
    <t xml:space="preserve">무료궁합 완료수</t>
  </si>
  <si>
    <t xml:space="preserve">심층궁합 건수</t>
  </si>
  <si>
    <t xml:space="preserve">커머스 주문수</t>
  </si>
  <si>
    <t xml:space="preserve">관계구독 활성</t>
  </si>
  <si>
    <t xml:space="preserve">매칭구독 활성</t>
  </si>
  <si>
    <t xml:space="preserve">— 매출 —</t>
  </si>
  <si>
    <t xml:space="preserve">심층궁합 매출</t>
  </si>
  <si>
    <t xml:space="preserve">관계구독 매출</t>
  </si>
  <si>
    <t xml:space="preserve">매칭구독 매출</t>
  </si>
  <si>
    <t xml:space="preserve">커머스 매출</t>
  </si>
  <si>
    <t xml:space="preserve">총매출</t>
  </si>
  <si>
    <t xml:space="preserve">— 변동비 —</t>
  </si>
  <si>
    <r>
      <rPr>
        <sz val="11"/>
        <color rgb="FF000000"/>
        <rFont val="Arial"/>
        <family val="0"/>
        <charset val="1"/>
      </rPr>
      <t xml:space="preserve">AI </t>
    </r>
    <r>
      <rPr>
        <sz val="11"/>
        <color rgb="FF000000"/>
        <rFont val="Noto Sans CJK SC"/>
        <family val="2"/>
      </rPr>
      <t xml:space="preserve">원가</t>
    </r>
  </si>
  <si>
    <t xml:space="preserve">결제 수수료</t>
  </si>
  <si>
    <t xml:space="preserve">커머스 COGS</t>
  </si>
  <si>
    <t xml:space="preserve">본인인증(매칭신규)</t>
  </si>
  <si>
    <t xml:space="preserve">총변동비</t>
  </si>
  <si>
    <t xml:space="preserve">매출총이익</t>
  </si>
  <si>
    <t xml:space="preserve">매출총이익률</t>
  </si>
  <si>
    <t xml:space="preserve">영업이익(인건비前)</t>
  </si>
  <si>
    <t xml:space="preserve">영업이익률</t>
  </si>
  <si>
    <t xml:space="preserve">연환산 영업이익(×12)</t>
  </si>
  <si>
    <t xml:space="preserve">대목은 단발 스파이크(월)라 연환산 무의미 → 보수/성장만 연환산 참고.</t>
  </si>
  <si>
    <t xml:space="preserve">성장·대목은 (a)바이럴 K (b)매칭 여성 유동성이 실현될 때만 성립. 보수는 매칭 없이도 도는 하방.</t>
  </si>
  <si>
    <r>
      <rPr>
        <b val="true"/>
        <sz val="14"/>
        <rFont val="Arial"/>
        <family val="0"/>
        <charset val="1"/>
      </rPr>
      <t xml:space="preserve">12</t>
    </r>
    <r>
      <rPr>
        <b val="true"/>
        <sz val="14"/>
        <rFont val="Noto Sans CJK SC"/>
        <family val="2"/>
      </rPr>
      <t xml:space="preserve">개월 빌드업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성장 경로</t>
    </r>
    <r>
      <rPr>
        <b val="true"/>
        <sz val="14"/>
        <rFont val="Arial"/>
        <family val="0"/>
        <charset val="1"/>
      </rPr>
      <t xml:space="preserve">) — </t>
    </r>
    <r>
      <rPr>
        <b val="true"/>
        <sz val="14"/>
        <rFont val="Noto Sans CJK SC"/>
        <family val="2"/>
      </rPr>
      <t xml:space="preserve">구독 누적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월 손익</t>
    </r>
  </si>
  <si>
    <t xml:space="preserve">신규 관계구독 전환율(완료대비)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</si>
  <si>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</si>
  <si>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</si>
  <si>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</si>
  <si>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</si>
  <si>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</si>
  <si>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</si>
  <si>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</si>
  <si>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</si>
  <si>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</si>
  <si>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</si>
  <si>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</si>
  <si>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</si>
  <si>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구독 월 이탈률(churn)</t>
  </si>
  <si>
    <t xml:space="preserve">신규 방문(입력)</t>
  </si>
  <si>
    <t xml:space="preserve">완료율(→가정)</t>
  </si>
  <si>
    <t xml:space="preserve">심층 전환율(→가정)</t>
  </si>
  <si>
    <t xml:space="preserve">커머스 구매율(→가정)</t>
  </si>
  <si>
    <t xml:space="preserve">신규 관계구독</t>
  </si>
  <si>
    <t xml:space="preserve">신규 매칭구독(입력)</t>
  </si>
  <si>
    <t xml:space="preserve">고정비(입력)</t>
  </si>
  <si>
    <t xml:space="preserve">영업이익(월)</t>
  </si>
  <si>
    <t xml:space="preserve">누적 영업이익</t>
  </si>
  <si>
    <t xml:space="preserve">매칭은 M5부터(여성 유동성 확보 가정) 개방. 방문 램프·매칭신규·고정비는 입력(파란색)이라 조정 가능.</t>
  </si>
  <si>
    <t xml:space="preserve">손익분기 &amp; 민감도 (보수 시나리오 기준)</t>
  </si>
  <si>
    <t xml:space="preserve">① 손익분기(BEP)</t>
  </si>
  <si>
    <t xml:space="preserve">보수 고정비(월)</t>
  </si>
  <si>
    <t xml:space="preserve">심층궁합 1건 기여이익</t>
  </si>
  <si>
    <t xml:space="preserve">관계구독 1인·월 기여이익</t>
  </si>
  <si>
    <r>
      <rPr>
        <sz val="11"/>
        <color rgb="FF000000"/>
        <rFont val="Arial"/>
        <family val="0"/>
        <charset val="1"/>
      </rPr>
      <t xml:space="preserve">BEP — </t>
    </r>
    <r>
      <rPr>
        <sz val="11"/>
        <color rgb="FF000000"/>
        <rFont val="Noto Sans CJK SC"/>
        <family val="2"/>
      </rPr>
      <t xml:space="preserve">심층궁합만으로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건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</si>
  <si>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BEP — </t>
    </r>
    <r>
      <rPr>
        <sz val="11"/>
        <color rgb="FF000000"/>
        <rFont val="Noto Sans CJK SC"/>
        <family val="2"/>
      </rPr>
      <t xml:space="preserve">관계구독만으로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활성</t>
    </r>
    <r>
      <rPr>
        <sz val="11"/>
        <color rgb="FF000000"/>
        <rFont val="Arial"/>
        <family val="0"/>
        <charset val="1"/>
      </rPr>
      <t xml:space="preserve">)</t>
    </r>
  </si>
  <si>
    <t xml:space="preserve">참고: 보수 시 실제 심층 건수</t>
  </si>
  <si>
    <t xml:space="preserve">참고: 보수 시 실제 관계구독 활성</t>
  </si>
  <si>
    <t xml:space="preserve">→ 하나만으로도 BEP 초과. 고정비가 낮아 손익분기 문턱이 매우 낮음.</t>
  </si>
  <si>
    <t xml:space="preserve">② 영업이익 민감도 — 심층궁합 전환율</t>
  </si>
  <si>
    <t xml:space="preserve">전환율 →</t>
  </si>
  <si>
    <t xml:space="preserve">③ 영업이익 민감도 — 관계구독 활성수</t>
  </si>
  <si>
    <t xml:space="preserve">활성수 →</t>
  </si>
  <si>
    <t xml:space="preserve">④ 매칭 개방 시 추가 영업이익(월)</t>
  </si>
  <si>
    <t xml:space="preserve">매칭구독 1인·월 기여이익</t>
  </si>
  <si>
    <t xml:space="preserve">매칭 활성 400인 가정 시 +영업이익</t>
  </si>
  <si>
    <t xml:space="preserve">매칭 활성 800인 가정 시 +영업이익</t>
  </si>
  <si>
    <t xml:space="preserve">→ 매칭이 붙으면 거의 순증(디지털·저원가). 관건은 이익률이 아니라 여성 유동성.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</si>
</sst>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.00"/>
    <numFmt numFmtId="167" formatCode="0.0"/>
    <numFmt numFmtId="168" formatCode="\₩#,##0"/>
    <numFmt numFmtId="169" formatCode="0.0%"/>
    <numFmt numFmtId="170" formatCode="\₩#,##0;&quot;(₩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i val="true"/>
      <sz val="11"/>
      <color rgb="FFC00000"/>
      <name val="Noto Sans CJK SC"/>
      <family val="2"/>
      <charset val="1"/>
    </font>
    <font>
      <b val="true"/>
      <sz val="14"/>
      <name val="Noto Sans CJK SC"/>
      <family val="2"/>
      <charset val="1"/>
    </font>
    <font>
      <sz val="11"/>
      <color rgb="FF008000"/>
      <name val="Arial"/>
      <family val="0"/>
      <charset val="1"/>
    </font>
    <font>
      <i val="true"/>
      <sz val="11"/>
      <color rgb="FF808080"/>
      <name val="Noto Sans CJK SC"/>
      <family val="2"/>
      <charset val="1"/>
    </font>
    <font>
      <sz val="11"/>
      <color rgb="FF000000"/>
      <name val="Noto Sans CJK SC"/>
      <family val="2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2F4B7C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B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5"/>
    <col collapsed="false" customWidth="true" hidden="false" outlineLevel="0" max="6" min="6" style="1" width="42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  <c r="F3" s="4"/>
    </row>
    <row r="4" customFormat="false" ht="16.5" hidden="false" customHeight="true" outlineLevel="0" collapsed="false">
      <c r="A4" s="5" t="s">
        <v>2</v>
      </c>
      <c r="B4" s="6" t="n">
        <v>1350</v>
      </c>
      <c r="F4" s="5" t="s">
        <v>3</v>
      </c>
    </row>
    <row r="5" customFormat="false" ht="16.5" hidden="false" customHeight="true" outlineLevel="0" collapsed="false">
      <c r="A5" s="7" t="s">
        <v>4</v>
      </c>
      <c r="B5" s="8" t="n">
        <v>0.1</v>
      </c>
      <c r="F5" s="5" t="s">
        <v>5</v>
      </c>
    </row>
    <row r="6" customFormat="false" ht="15" hidden="false" customHeight="true" outlineLevel="0" collapsed="false">
      <c r="A6" s="7" t="s">
        <v>6</v>
      </c>
      <c r="B6" s="8" t="n">
        <v>0.4</v>
      </c>
    </row>
    <row r="7" customFormat="false" ht="15" hidden="false" customHeight="true" outlineLevel="0" collapsed="false">
      <c r="A7" s="7" t="s">
        <v>7</v>
      </c>
      <c r="B7" s="8" t="n">
        <v>0.3</v>
      </c>
    </row>
    <row r="8" customFormat="false" ht="15" hidden="false" customHeight="true" outlineLevel="0" collapsed="false">
      <c r="A8" s="7" t="s">
        <v>8</v>
      </c>
      <c r="B8" s="8" t="n">
        <v>2.5</v>
      </c>
    </row>
    <row r="9" customFormat="false" ht="16.5" hidden="false" customHeight="true" outlineLevel="0" collapsed="false">
      <c r="A9" s="5" t="s">
        <v>9</v>
      </c>
      <c r="B9" s="9" t="n">
        <v>2</v>
      </c>
      <c r="F9" s="5" t="s">
        <v>10</v>
      </c>
    </row>
    <row r="11" customFormat="false" ht="15" hidden="false" customHeight="true" outlineLevel="0" collapsed="false">
      <c r="A11" s="3" t="s">
        <v>11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B12" s="10" t="s">
        <v>12</v>
      </c>
      <c r="C12" s="10" t="s">
        <v>13</v>
      </c>
      <c r="D12" s="11" t="s">
        <v>14</v>
      </c>
    </row>
    <row r="13" customFormat="false" ht="16.5" hidden="false" customHeight="true" outlineLevel="0" collapsed="false">
      <c r="A13" s="5" t="s">
        <v>15</v>
      </c>
      <c r="B13" s="12" t="n">
        <v>2000</v>
      </c>
      <c r="C13" s="12" t="n">
        <v>800</v>
      </c>
      <c r="D13" s="13" t="s">
        <v>16</v>
      </c>
    </row>
    <row r="14" customFormat="false" ht="16.5" hidden="false" customHeight="true" outlineLevel="0" collapsed="false">
      <c r="A14" s="5" t="s">
        <v>17</v>
      </c>
      <c r="B14" s="12" t="n">
        <v>3000</v>
      </c>
      <c r="C14" s="12" t="n">
        <v>2500</v>
      </c>
      <c r="D14" s="13" t="s">
        <v>18</v>
      </c>
    </row>
    <row r="15" customFormat="false" ht="16.5" hidden="false" customHeight="true" outlineLevel="0" collapsed="false">
      <c r="A15" s="5" t="s">
        <v>19</v>
      </c>
      <c r="B15" s="12" t="n">
        <v>300000</v>
      </c>
      <c r="C15" s="12" t="n">
        <v>45000</v>
      </c>
      <c r="D15" s="13" t="s">
        <v>18</v>
      </c>
      <c r="F15" s="5" t="s">
        <v>20</v>
      </c>
    </row>
    <row r="16" customFormat="false" ht="16.5" hidden="false" customHeight="true" outlineLevel="0" collapsed="false">
      <c r="A16" s="5" t="s">
        <v>21</v>
      </c>
      <c r="B16" s="12" t="n">
        <v>100000</v>
      </c>
      <c r="C16" s="12" t="n">
        <v>20000</v>
      </c>
      <c r="D16" s="13" t="s">
        <v>18</v>
      </c>
    </row>
    <row r="18" customFormat="false" ht="16.5" hidden="false" customHeight="true" outlineLevel="0" collapsed="false">
      <c r="A18" s="14" t="s">
        <v>22</v>
      </c>
      <c r="B18" s="4"/>
      <c r="C18" s="4"/>
      <c r="D18" s="4"/>
      <c r="E18" s="4"/>
      <c r="F18" s="4"/>
    </row>
    <row r="19" customFormat="false" ht="16.5" hidden="false" customHeight="true" outlineLevel="0" collapsed="false">
      <c r="A19" s="5" t="s">
        <v>23</v>
      </c>
      <c r="B19" s="15" t="n">
        <f aca="false">(B13*B5+C13*B6)/1000000*B4*B9</f>
        <v>1.404</v>
      </c>
    </row>
    <row r="20" customFormat="false" ht="16.5" hidden="false" customHeight="true" outlineLevel="0" collapsed="false">
      <c r="A20" s="5" t="s">
        <v>24</v>
      </c>
      <c r="B20" s="15" t="n">
        <f aca="false">(B14*B7+C14*B8)/1000000*B4*B9</f>
        <v>19.305</v>
      </c>
    </row>
    <row r="21" customFormat="false" ht="16.5" hidden="false" customHeight="true" outlineLevel="0" collapsed="false">
      <c r="A21" s="5" t="s">
        <v>25</v>
      </c>
      <c r="B21" s="15" t="n">
        <f aca="false">(B15*B7+C15*B8)/1000000*B4*B9</f>
        <v>546.75</v>
      </c>
    </row>
    <row r="22" customFormat="false" ht="16.5" hidden="false" customHeight="true" outlineLevel="0" collapsed="false">
      <c r="A22" s="5" t="s">
        <v>26</v>
      </c>
      <c r="B22" s="15" t="n">
        <f aca="false">(B16*B7+C16*B8)/1000000*B4*B9</f>
        <v>216</v>
      </c>
    </row>
    <row r="24" customFormat="false" ht="15" hidden="false" customHeight="true" outlineLevel="0" collapsed="false">
      <c r="A24" s="3" t="s">
        <v>27</v>
      </c>
      <c r="B24" s="4"/>
      <c r="C24" s="4"/>
      <c r="D24" s="4"/>
      <c r="E24" s="4"/>
      <c r="F24" s="4"/>
    </row>
    <row r="25" customFormat="false" ht="16.5" hidden="false" customHeight="true" outlineLevel="0" collapsed="false">
      <c r="A25" s="5" t="s">
        <v>28</v>
      </c>
      <c r="B25" s="16" t="n">
        <v>0.032</v>
      </c>
      <c r="F25" s="5" t="s">
        <v>29</v>
      </c>
    </row>
    <row r="26" customFormat="false" ht="16.5" hidden="false" customHeight="true" outlineLevel="0" collapsed="false">
      <c r="A26" s="5" t="s">
        <v>30</v>
      </c>
      <c r="B26" s="17" t="n">
        <v>50</v>
      </c>
      <c r="F26" s="5" t="s">
        <v>31</v>
      </c>
    </row>
    <row r="27" customFormat="false" ht="16.5" hidden="false" customHeight="true" outlineLevel="0" collapsed="false">
      <c r="A27" s="5" t="s">
        <v>32</v>
      </c>
      <c r="B27" s="16" t="n">
        <v>0.55</v>
      </c>
      <c r="F27" s="5" t="s">
        <v>33</v>
      </c>
    </row>
    <row r="29" customFormat="false" ht="16.5" hidden="false" customHeight="true" outlineLevel="0" collapsed="false">
      <c r="A29" s="3" t="s">
        <v>34</v>
      </c>
      <c r="B29" s="4"/>
      <c r="C29" s="4"/>
      <c r="D29" s="4"/>
      <c r="E29" s="4"/>
      <c r="F29" s="4"/>
    </row>
    <row r="30" customFormat="false" ht="16.5" hidden="false" customHeight="true" outlineLevel="0" collapsed="false">
      <c r="A30" s="5" t="s">
        <v>35</v>
      </c>
      <c r="B30" s="18" t="n">
        <v>9900</v>
      </c>
    </row>
    <row r="31" customFormat="false" ht="16.5" hidden="false" customHeight="true" outlineLevel="0" collapsed="false">
      <c r="A31" s="5" t="s">
        <v>36</v>
      </c>
      <c r="B31" s="18" t="n">
        <v>9900</v>
      </c>
    </row>
    <row r="32" customFormat="false" ht="16.5" hidden="false" customHeight="true" outlineLevel="0" collapsed="false">
      <c r="A32" s="5" t="s">
        <v>37</v>
      </c>
      <c r="B32" s="18" t="n">
        <v>19900</v>
      </c>
      <c r="F32" s="5" t="s">
        <v>38</v>
      </c>
    </row>
    <row r="33" customFormat="false" ht="16.5" hidden="false" customHeight="true" outlineLevel="0" collapsed="false">
      <c r="A33" s="5" t="s">
        <v>39</v>
      </c>
      <c r="B33" s="18" t="n">
        <v>12000</v>
      </c>
    </row>
    <row r="35" customFormat="false" ht="16.5" hidden="false" customHeight="true" outlineLevel="0" collapsed="false">
      <c r="A35" s="3" t="s">
        <v>40</v>
      </c>
      <c r="B35" s="4"/>
      <c r="C35" s="4"/>
      <c r="D35" s="4"/>
      <c r="E35" s="4"/>
      <c r="F35" s="4"/>
    </row>
    <row r="36" customFormat="false" ht="16.5" hidden="false" customHeight="true" outlineLevel="0" collapsed="false">
      <c r="C36" s="19" t="s">
        <v>41</v>
      </c>
      <c r="D36" s="19" t="s">
        <v>42</v>
      </c>
      <c r="E36" s="19" t="s">
        <v>43</v>
      </c>
    </row>
    <row r="37" customFormat="false" ht="16.5" hidden="false" customHeight="true" outlineLevel="0" collapsed="false">
      <c r="A37" s="5" t="s">
        <v>44</v>
      </c>
      <c r="C37" s="6" t="n">
        <v>40000</v>
      </c>
      <c r="D37" s="6" t="n">
        <v>150000</v>
      </c>
      <c r="E37" s="6" t="n">
        <v>250000</v>
      </c>
    </row>
    <row r="38" customFormat="false" ht="15" hidden="false" customHeight="true" outlineLevel="0" collapsed="false">
      <c r="A38" s="5" t="s">
        <v>45</v>
      </c>
      <c r="C38" s="16" t="n">
        <v>0.45</v>
      </c>
      <c r="D38" s="16" t="n">
        <v>0.45</v>
      </c>
      <c r="E38" s="16" t="n">
        <v>0.45</v>
      </c>
    </row>
    <row r="39" customFormat="false" ht="16.5" hidden="false" customHeight="true" outlineLevel="0" collapsed="false">
      <c r="A39" s="5" t="s">
        <v>46</v>
      </c>
      <c r="C39" s="16" t="n">
        <v>0.02</v>
      </c>
      <c r="D39" s="16" t="n">
        <v>0.015</v>
      </c>
      <c r="E39" s="16" t="n">
        <v>0.02</v>
      </c>
    </row>
    <row r="40" customFormat="false" ht="16.5" hidden="false" customHeight="true" outlineLevel="0" collapsed="false">
      <c r="A40" s="5" t="s">
        <v>47</v>
      </c>
      <c r="C40" s="16" t="n">
        <v>0.01</v>
      </c>
      <c r="D40" s="16" t="n">
        <v>0.01</v>
      </c>
      <c r="E40" s="16" t="n">
        <v>0.015</v>
      </c>
    </row>
    <row r="41" customFormat="false" ht="15" hidden="false" customHeight="true" outlineLevel="0" collapsed="false">
      <c r="A41" s="5" t="s">
        <v>48</v>
      </c>
      <c r="C41" s="6" t="n">
        <v>400</v>
      </c>
      <c r="D41" s="6" t="n">
        <v>2000</v>
      </c>
      <c r="E41" s="6" t="n">
        <v>3500</v>
      </c>
    </row>
    <row r="42" customFormat="false" ht="16.5" hidden="false" customHeight="true" outlineLevel="0" collapsed="false">
      <c r="A42" s="5" t="s">
        <v>49</v>
      </c>
      <c r="C42" s="6" t="n">
        <v>0</v>
      </c>
      <c r="D42" s="6" t="n">
        <v>800</v>
      </c>
      <c r="E42" s="6" t="n">
        <v>1200</v>
      </c>
      <c r="F42" s="5" t="s">
        <v>50</v>
      </c>
    </row>
    <row r="43" customFormat="false" ht="16.5" hidden="false" customHeight="true" outlineLevel="0" collapsed="false">
      <c r="A43" s="5" t="s">
        <v>51</v>
      </c>
      <c r="C43" s="6" t="n">
        <v>0</v>
      </c>
      <c r="D43" s="6" t="n">
        <v>200</v>
      </c>
      <c r="E43" s="6" t="n">
        <v>400</v>
      </c>
    </row>
    <row r="45" customFormat="false" ht="16.5" hidden="false" customHeight="true" outlineLevel="0" collapsed="false">
      <c r="A45" s="3" t="s">
        <v>52</v>
      </c>
      <c r="B45" s="4"/>
      <c r="C45" s="4"/>
      <c r="D45" s="4"/>
      <c r="E45" s="4"/>
      <c r="F45" s="4"/>
    </row>
    <row r="46" customFormat="false" ht="15" hidden="false" customHeight="true" outlineLevel="0" collapsed="false">
      <c r="C46" s="19" t="s">
        <v>53</v>
      </c>
      <c r="D46" s="19" t="s">
        <v>54</v>
      </c>
      <c r="E46" s="19" t="s">
        <v>55</v>
      </c>
    </row>
    <row r="47" customFormat="false" ht="16.5" hidden="false" customHeight="true" outlineLevel="0" collapsed="false">
      <c r="A47" s="5" t="s">
        <v>56</v>
      </c>
      <c r="C47" s="18" t="n">
        <v>150000</v>
      </c>
      <c r="D47" s="18" t="n">
        <v>700000</v>
      </c>
      <c r="E47" s="18" t="n">
        <v>1500000</v>
      </c>
    </row>
    <row r="48" customFormat="false" ht="16.5" hidden="false" customHeight="true" outlineLevel="0" collapsed="false">
      <c r="A48" s="5" t="s">
        <v>57</v>
      </c>
      <c r="C48" s="18" t="n">
        <v>50000</v>
      </c>
      <c r="D48" s="18" t="n">
        <v>80000</v>
      </c>
      <c r="E48" s="18" t="n">
        <v>100000</v>
      </c>
    </row>
    <row r="49" customFormat="false" ht="16.5" hidden="false" customHeight="true" outlineLevel="0" collapsed="false">
      <c r="A49" s="5" t="s">
        <v>58</v>
      </c>
      <c r="C49" s="18" t="n">
        <v>300000</v>
      </c>
      <c r="D49" s="18" t="n">
        <v>3000000</v>
      </c>
      <c r="E49" s="18" t="n">
        <v>8000000</v>
      </c>
    </row>
    <row r="50" customFormat="false" ht="16.5" hidden="false" customHeight="true" outlineLevel="0" collapsed="false">
      <c r="A50" s="5" t="s">
        <v>59</v>
      </c>
      <c r="C50" s="18" t="n">
        <v>150000</v>
      </c>
      <c r="D50" s="18" t="n">
        <v>400000</v>
      </c>
      <c r="E50" s="18" t="n">
        <v>600000</v>
      </c>
    </row>
    <row r="51" customFormat="false" ht="15" hidden="false" customHeight="true" outlineLevel="0" collapsed="false">
      <c r="A51" s="20" t="s">
        <v>60</v>
      </c>
      <c r="C51" s="21" t="n">
        <f aca="false">SUM(C47:C50)</f>
        <v>650000</v>
      </c>
      <c r="D51" s="21" t="n">
        <f aca="false">SUM(D47:D50)</f>
        <v>4180000</v>
      </c>
      <c r="E51" s="21" t="n">
        <f aca="false">SUM(E47:E50)</f>
        <v>10200000</v>
      </c>
    </row>
    <row r="53" customFormat="false" ht="16.5" hidden="false" customHeight="true" outlineLevel="0" collapsed="false">
      <c r="A53" s="22" t="s">
        <v>61</v>
      </c>
      <c r="B53" s="22"/>
      <c r="C53" s="22"/>
      <c r="D53" s="22"/>
      <c r="E53" s="22"/>
      <c r="F53" s="22"/>
    </row>
  </sheetData>
  <mergeCells count="2">
    <mergeCell ref="A1:F1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5"/>
  </cols>
  <sheetData>
    <row r="1" customFormat="false" ht="21" hidden="false" customHeight="true" outlineLevel="0" collapsed="false">
      <c r="A1" s="23" t="s">
        <v>62</v>
      </c>
      <c r="B1" s="23"/>
      <c r="C1" s="23"/>
      <c r="D1" s="23"/>
      <c r="E1" s="23"/>
      <c r="F1" s="23"/>
      <c r="G1" s="23"/>
    </row>
    <row r="3" customFormat="false" ht="16.5" hidden="false" customHeight="true" outlineLevel="0" collapsed="false">
      <c r="A3" s="24" t="s">
        <v>63</v>
      </c>
      <c r="B3" s="24" t="s">
        <v>64</v>
      </c>
      <c r="C3" s="25" t="s">
        <v>65</v>
      </c>
      <c r="D3" s="24" t="s">
        <v>66</v>
      </c>
      <c r="E3" s="24" t="s">
        <v>67</v>
      </c>
      <c r="F3" s="24" t="s">
        <v>68</v>
      </c>
      <c r="G3" s="24" t="s">
        <v>69</v>
      </c>
    </row>
    <row r="4" customFormat="false" ht="16.5" hidden="false" customHeight="true" outlineLevel="0" collapsed="false">
      <c r="A4" s="5" t="s">
        <v>35</v>
      </c>
      <c r="B4" s="26" t="n">
        <f aca="false">가정!B30</f>
        <v>9900</v>
      </c>
      <c r="C4" s="26" t="n">
        <f aca="false">가정!B20</f>
        <v>19.305</v>
      </c>
      <c r="D4" s="15" t="n">
        <f aca="false">B4*가정!B25</f>
        <v>316.8</v>
      </c>
      <c r="E4" s="17" t="n">
        <v>0</v>
      </c>
      <c r="F4" s="21" t="n">
        <f aca="false">B4-C4-D4-E4</f>
        <v>9563.895</v>
      </c>
      <c r="G4" s="27" t="n">
        <f aca="false">F4/B4</f>
        <v>0.96605</v>
      </c>
    </row>
    <row r="5" customFormat="false" ht="16.5" hidden="false" customHeight="true" outlineLevel="0" collapsed="false">
      <c r="A5" s="5" t="s">
        <v>70</v>
      </c>
      <c r="B5" s="26" t="n">
        <f aca="false">가정!B31</f>
        <v>9900</v>
      </c>
      <c r="C5" s="26" t="n">
        <f aca="false">가정!B21</f>
        <v>546.75</v>
      </c>
      <c r="D5" s="15" t="n">
        <f aca="false">B5*가정!B25</f>
        <v>316.8</v>
      </c>
      <c r="E5" s="17" t="n">
        <v>0</v>
      </c>
      <c r="F5" s="21" t="n">
        <f aca="false">B5-C5-D5-E5</f>
        <v>9036.45</v>
      </c>
      <c r="G5" s="27" t="n">
        <f aca="false">F5/B5</f>
        <v>0.912772727272727</v>
      </c>
    </row>
    <row r="6" customFormat="false" ht="16.5" hidden="false" customHeight="true" outlineLevel="0" collapsed="false">
      <c r="A6" s="5" t="s">
        <v>71</v>
      </c>
      <c r="B6" s="26" t="n">
        <f aca="false">가정!B32</f>
        <v>19900</v>
      </c>
      <c r="C6" s="26" t="n">
        <f aca="false">가정!B22</f>
        <v>216</v>
      </c>
      <c r="D6" s="15" t="n">
        <f aca="false">B6*가정!B25</f>
        <v>636.8</v>
      </c>
      <c r="E6" s="17" t="n">
        <v>0</v>
      </c>
      <c r="F6" s="21" t="n">
        <f aca="false">B6-C6-D6-E6</f>
        <v>19047.2</v>
      </c>
      <c r="G6" s="27" t="n">
        <f aca="false">F6/B6</f>
        <v>0.957145728643216</v>
      </c>
    </row>
    <row r="7" customFormat="false" ht="16.5" hidden="false" customHeight="true" outlineLevel="0" collapsed="false">
      <c r="A7" s="5" t="s">
        <v>72</v>
      </c>
      <c r="B7" s="26" t="n">
        <f aca="false">가정!B33</f>
        <v>12000</v>
      </c>
      <c r="C7" s="17" t="n">
        <v>0</v>
      </c>
      <c r="D7" s="15" t="n">
        <f aca="false">B7*가정!B25</f>
        <v>384</v>
      </c>
      <c r="E7" s="15" t="n">
        <f aca="false">B7*가정!B27</f>
        <v>6600</v>
      </c>
      <c r="F7" s="21" t="n">
        <f aca="false">B7-C7-D7-E7</f>
        <v>5016</v>
      </c>
      <c r="G7" s="27" t="n">
        <f aca="false">F7/B7</f>
        <v>0.418</v>
      </c>
    </row>
    <row r="8" customFormat="false" ht="16.5" hidden="false" customHeight="true" outlineLevel="0" collapsed="false">
      <c r="A8" s="5" t="s">
        <v>73</v>
      </c>
      <c r="B8" s="17" t="n">
        <v>0</v>
      </c>
      <c r="C8" s="26" t="n">
        <f aca="false">가정!B19</f>
        <v>1.404</v>
      </c>
      <c r="D8" s="15" t="n">
        <v>0</v>
      </c>
      <c r="E8" s="17" t="n">
        <v>0</v>
      </c>
      <c r="F8" s="28" t="n">
        <f aca="false">B8-C8-D8-E8</f>
        <v>-1.404</v>
      </c>
      <c r="G8" s="29" t="s">
        <v>74</v>
      </c>
    </row>
    <row r="10" customFormat="false" ht="16.5" hidden="false" customHeight="true" outlineLevel="0" collapsed="false">
      <c r="A10" s="22" t="s">
        <v>75</v>
      </c>
      <c r="B10" s="22"/>
      <c r="C10" s="22"/>
      <c r="D10" s="22"/>
      <c r="E10" s="22"/>
      <c r="F10" s="22"/>
      <c r="G10" s="22"/>
    </row>
    <row r="11" customFormat="false" ht="16.5" hidden="false" customHeight="true" outlineLevel="0" collapsed="false">
      <c r="A11" s="30" t="s">
        <v>76</v>
      </c>
      <c r="B11" s="30"/>
      <c r="C11" s="30"/>
      <c r="D11" s="30"/>
      <c r="E11" s="30"/>
      <c r="F11" s="30"/>
      <c r="G11" s="30"/>
    </row>
  </sheetData>
  <mergeCells count="3">
    <mergeCell ref="A1:G1"/>
    <mergeCell ref="A10:G10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7"/>
  </cols>
  <sheetData>
    <row r="1" customFormat="false" ht="21" hidden="false" customHeight="true" outlineLevel="0" collapsed="false">
      <c r="A1" s="23" t="s">
        <v>77</v>
      </c>
      <c r="B1" s="23"/>
      <c r="C1" s="23"/>
      <c r="D1" s="23"/>
    </row>
    <row r="3" customFormat="false" ht="16.5" hidden="false" customHeight="true" outlineLevel="0" collapsed="false">
      <c r="A3" s="3" t="s">
        <v>78</v>
      </c>
      <c r="B3" s="24" t="s">
        <v>41</v>
      </c>
      <c r="C3" s="24" t="s">
        <v>42</v>
      </c>
      <c r="D3" s="24" t="s">
        <v>43</v>
      </c>
    </row>
    <row r="4" customFormat="false" ht="15" hidden="false" customHeight="true" outlineLevel="0" collapsed="false">
      <c r="A4" s="31" t="s">
        <v>79</v>
      </c>
      <c r="B4" s="32"/>
      <c r="C4" s="32"/>
      <c r="D4" s="32"/>
    </row>
    <row r="5" customFormat="false" ht="15" hidden="false" customHeight="true" outlineLevel="0" collapsed="false">
      <c r="A5" s="5" t="s">
        <v>80</v>
      </c>
      <c r="B5" s="33" t="n">
        <f aca="false">가정!C37*가정!C38</f>
        <v>18000</v>
      </c>
      <c r="C5" s="33" t="n">
        <f aca="false">가정!D37*가정!D38</f>
        <v>67500</v>
      </c>
      <c r="D5" s="33" t="n">
        <f aca="false">가정!E37*가정!E38</f>
        <v>112500</v>
      </c>
    </row>
    <row r="6" customFormat="false" ht="15" hidden="false" customHeight="true" outlineLevel="0" collapsed="false">
      <c r="A6" s="5" t="s">
        <v>81</v>
      </c>
      <c r="B6" s="33" t="n">
        <f aca="false">가정!C37*가정!C38*가정!C39</f>
        <v>360</v>
      </c>
      <c r="C6" s="33" t="n">
        <f aca="false">가정!D37*가정!D38*가정!D39</f>
        <v>1012.5</v>
      </c>
      <c r="D6" s="33" t="n">
        <f aca="false">가정!E37*가정!E38*가정!E39</f>
        <v>2250</v>
      </c>
    </row>
    <row r="7" customFormat="false" ht="15" hidden="false" customHeight="true" outlineLevel="0" collapsed="false">
      <c r="A7" s="5" t="s">
        <v>82</v>
      </c>
      <c r="B7" s="33" t="n">
        <f aca="false">가정!C37*가정!C38*가정!C40</f>
        <v>180</v>
      </c>
      <c r="C7" s="33" t="n">
        <f aca="false">가정!D37*가정!D38*가정!D40</f>
        <v>675</v>
      </c>
      <c r="D7" s="33" t="n">
        <f aca="false">가정!E37*가정!E38*가정!E40</f>
        <v>1687.5</v>
      </c>
    </row>
    <row r="8" customFormat="false" ht="15" hidden="false" customHeight="true" outlineLevel="0" collapsed="false">
      <c r="A8" s="5" t="s">
        <v>83</v>
      </c>
      <c r="B8" s="33" t="n">
        <f aca="false">가정!C41</f>
        <v>400</v>
      </c>
      <c r="C8" s="33" t="n">
        <f aca="false">가정!D41</f>
        <v>2000</v>
      </c>
      <c r="D8" s="33" t="n">
        <f aca="false">가정!E41</f>
        <v>3500</v>
      </c>
    </row>
    <row r="9" customFormat="false" ht="15" hidden="false" customHeight="true" outlineLevel="0" collapsed="false">
      <c r="A9" s="5" t="s">
        <v>84</v>
      </c>
      <c r="B9" s="33" t="n">
        <f aca="false">가정!C42</f>
        <v>0</v>
      </c>
      <c r="C9" s="33" t="n">
        <f aca="false">가정!D42</f>
        <v>800</v>
      </c>
      <c r="D9" s="33" t="n">
        <f aca="false">가정!E42</f>
        <v>1200</v>
      </c>
    </row>
    <row r="11" customFormat="false" ht="15" hidden="false" customHeight="true" outlineLevel="0" collapsed="false">
      <c r="A11" s="31" t="s">
        <v>85</v>
      </c>
      <c r="B11" s="32"/>
      <c r="C11" s="32"/>
      <c r="D11" s="32"/>
    </row>
    <row r="12" customFormat="false" ht="15" hidden="false" customHeight="true" outlineLevel="0" collapsed="false">
      <c r="A12" s="5" t="s">
        <v>86</v>
      </c>
      <c r="B12" s="15" t="n">
        <f aca="false">B6*가정!B30</f>
        <v>3564000</v>
      </c>
      <c r="C12" s="15" t="n">
        <f aca="false">C6*가정!B30</f>
        <v>10023750</v>
      </c>
      <c r="D12" s="15" t="n">
        <f aca="false">D6*가정!B30</f>
        <v>22275000</v>
      </c>
    </row>
    <row r="13" customFormat="false" ht="15" hidden="false" customHeight="true" outlineLevel="0" collapsed="false">
      <c r="A13" s="5" t="s">
        <v>87</v>
      </c>
      <c r="B13" s="15" t="n">
        <f aca="false">B8*가정!B31</f>
        <v>3960000</v>
      </c>
      <c r="C13" s="15" t="n">
        <f aca="false">C8*가정!B31</f>
        <v>19800000</v>
      </c>
      <c r="D13" s="15" t="n">
        <f aca="false">D8*가정!B31</f>
        <v>34650000</v>
      </c>
    </row>
    <row r="14" customFormat="false" ht="15" hidden="false" customHeight="true" outlineLevel="0" collapsed="false">
      <c r="A14" s="5" t="s">
        <v>88</v>
      </c>
      <c r="B14" s="15" t="n">
        <f aca="false">B9*가정!B32</f>
        <v>0</v>
      </c>
      <c r="C14" s="15" t="n">
        <f aca="false">C9*가정!B32</f>
        <v>15920000</v>
      </c>
      <c r="D14" s="15" t="n">
        <f aca="false">D9*가정!B32</f>
        <v>23880000</v>
      </c>
    </row>
    <row r="15" customFormat="false" ht="15" hidden="false" customHeight="true" outlineLevel="0" collapsed="false">
      <c r="A15" s="5" t="s">
        <v>89</v>
      </c>
      <c r="B15" s="15" t="n">
        <f aca="false">B7*가정!B33</f>
        <v>2160000</v>
      </c>
      <c r="C15" s="15" t="n">
        <f aca="false">C7*가정!B33</f>
        <v>8100000</v>
      </c>
      <c r="D15" s="15" t="n">
        <f aca="false">D7*가정!B33</f>
        <v>20250000</v>
      </c>
    </row>
    <row r="16" customFormat="false" ht="15" hidden="false" customHeight="true" outlineLevel="0" collapsed="false">
      <c r="A16" s="34" t="s">
        <v>90</v>
      </c>
      <c r="B16" s="35" t="n">
        <f aca="false">SUM(B12:B15)</f>
        <v>9684000</v>
      </c>
      <c r="C16" s="35" t="n">
        <f aca="false">SUM(C12:C15)</f>
        <v>53843750</v>
      </c>
      <c r="D16" s="35" t="n">
        <f aca="false">SUM(D12:D15)</f>
        <v>101055000</v>
      </c>
    </row>
    <row r="18" customFormat="false" ht="15" hidden="false" customHeight="true" outlineLevel="0" collapsed="false">
      <c r="A18" s="31" t="s">
        <v>91</v>
      </c>
      <c r="B18" s="32"/>
      <c r="C18" s="32"/>
      <c r="D18" s="32"/>
    </row>
    <row r="19" customFormat="false" ht="16.5" hidden="false" customHeight="true" outlineLevel="0" collapsed="false">
      <c r="A19" s="7" t="s">
        <v>92</v>
      </c>
      <c r="B19" s="15" t="n">
        <f aca="false">B5*가정!B19+B6*가정!B20+B8*가정!B21+B9*가정!B22</f>
        <v>250921.8</v>
      </c>
      <c r="C19" s="15" t="n">
        <f aca="false">C5*가정!B19+C6*가정!B20+C8*가정!B21+C9*가정!B22</f>
        <v>1380616.3125</v>
      </c>
      <c r="D19" s="15" t="n">
        <f aca="false">D5*가정!B19+D6*가정!B20+D8*가정!B21+D9*가정!B22</f>
        <v>2374211.25</v>
      </c>
    </row>
    <row r="20" customFormat="false" ht="15" hidden="false" customHeight="true" outlineLevel="0" collapsed="false">
      <c r="A20" s="5" t="s">
        <v>93</v>
      </c>
      <c r="B20" s="15" t="n">
        <f aca="false">B16*가정!B25</f>
        <v>309888</v>
      </c>
      <c r="C20" s="15" t="n">
        <f aca="false">C16*가정!B25</f>
        <v>1723000</v>
      </c>
      <c r="D20" s="15" t="n">
        <f aca="false">D16*가정!B25</f>
        <v>3233760</v>
      </c>
    </row>
    <row r="21" customFormat="false" ht="16.5" hidden="false" customHeight="true" outlineLevel="0" collapsed="false">
      <c r="A21" s="5" t="s">
        <v>94</v>
      </c>
      <c r="B21" s="15" t="n">
        <f aca="false">B15*가정!B27</f>
        <v>1188000</v>
      </c>
      <c r="C21" s="15" t="n">
        <f aca="false">C15*가정!B27</f>
        <v>4455000</v>
      </c>
      <c r="D21" s="15" t="n">
        <f aca="false">D15*가정!B27</f>
        <v>11137500</v>
      </c>
    </row>
    <row r="22" customFormat="false" ht="16.5" hidden="false" customHeight="true" outlineLevel="0" collapsed="false">
      <c r="A22" s="5" t="s">
        <v>95</v>
      </c>
      <c r="B22" s="15" t="n">
        <f aca="false">가정!C43*가정!B26</f>
        <v>0</v>
      </c>
      <c r="C22" s="15" t="n">
        <f aca="false">가정!D43*가정!B26</f>
        <v>10000</v>
      </c>
      <c r="D22" s="15" t="n">
        <f aca="false">가정!E43*가정!B26</f>
        <v>20000</v>
      </c>
    </row>
    <row r="23" customFormat="false" ht="15" hidden="false" customHeight="true" outlineLevel="0" collapsed="false">
      <c r="A23" s="20" t="s">
        <v>96</v>
      </c>
      <c r="B23" s="21" t="n">
        <f aca="false">SUM(B19:B22)</f>
        <v>1748809.8</v>
      </c>
      <c r="C23" s="21" t="n">
        <f aca="false">SUM(C19:C22)</f>
        <v>7568616.3125</v>
      </c>
      <c r="D23" s="21" t="n">
        <f aca="false">SUM(D19:D22)</f>
        <v>16765471.25</v>
      </c>
    </row>
    <row r="25" customFormat="false" ht="15" hidden="false" customHeight="true" outlineLevel="0" collapsed="false">
      <c r="A25" s="36" t="s">
        <v>97</v>
      </c>
      <c r="B25" s="37" t="n">
        <f aca="false">B16-B23</f>
        <v>7935190.2</v>
      </c>
      <c r="C25" s="37" t="n">
        <f aca="false">C16-C23</f>
        <v>46275133.6875</v>
      </c>
      <c r="D25" s="37" t="n">
        <f aca="false">D16-D23</f>
        <v>84289528.75</v>
      </c>
    </row>
    <row r="26" customFormat="false" ht="15" hidden="false" customHeight="true" outlineLevel="0" collapsed="false">
      <c r="A26" s="20" t="s">
        <v>98</v>
      </c>
      <c r="B26" s="27" t="n">
        <f aca="false">B25/B16</f>
        <v>0.819412453531599</v>
      </c>
      <c r="C26" s="27" t="n">
        <f aca="false">C25/C16</f>
        <v>0.859433707486941</v>
      </c>
      <c r="D26" s="27" t="n">
        <f aca="false">D25/D16</f>
        <v>0.834095579140072</v>
      </c>
    </row>
    <row r="28" customFormat="false" ht="15" hidden="false" customHeight="true" outlineLevel="0" collapsed="false">
      <c r="A28" s="20" t="s">
        <v>60</v>
      </c>
      <c r="B28" s="21" t="n">
        <f aca="false">가정!C51</f>
        <v>650000</v>
      </c>
      <c r="C28" s="21" t="n">
        <f aca="false">가정!D51</f>
        <v>4180000</v>
      </c>
      <c r="D28" s="21" t="n">
        <f aca="false">가정!E51</f>
        <v>10200000</v>
      </c>
    </row>
    <row r="30" customFormat="false" ht="16.5" hidden="false" customHeight="true" outlineLevel="0" collapsed="false">
      <c r="A30" s="36" t="s">
        <v>99</v>
      </c>
      <c r="B30" s="37" t="n">
        <f aca="false">B25-B28</f>
        <v>7285190.2</v>
      </c>
      <c r="C30" s="37" t="n">
        <f aca="false">C25-C28</f>
        <v>42095133.6875</v>
      </c>
      <c r="D30" s="37" t="n">
        <f aca="false">D25-D28</f>
        <v>74089528.75</v>
      </c>
    </row>
    <row r="31" customFormat="false" ht="15" hidden="false" customHeight="true" outlineLevel="0" collapsed="false">
      <c r="A31" s="20" t="s">
        <v>100</v>
      </c>
      <c r="B31" s="27" t="n">
        <f aca="false">B30/B16</f>
        <v>0.752291429161504</v>
      </c>
      <c r="C31" s="27" t="n">
        <f aca="false">C30/C16</f>
        <v>0.781801670342426</v>
      </c>
      <c r="D31" s="27" t="n">
        <f aca="false">D30/D16</f>
        <v>0.733160444807283</v>
      </c>
    </row>
    <row r="32" customFormat="false" ht="16.5" hidden="false" customHeight="true" outlineLevel="0" collapsed="false">
      <c r="A32" s="20" t="s">
        <v>101</v>
      </c>
      <c r="B32" s="21" t="n">
        <f aca="false">B30*12</f>
        <v>87422282.4</v>
      </c>
      <c r="C32" s="21" t="n">
        <f aca="false">C30*12</f>
        <v>505141604.25</v>
      </c>
      <c r="D32" s="21" t="n">
        <f aca="false">D30*12</f>
        <v>889074345</v>
      </c>
    </row>
    <row r="34" customFormat="false" ht="16.5" hidden="false" customHeight="true" outlineLevel="0" collapsed="false">
      <c r="A34" s="30" t="s">
        <v>102</v>
      </c>
      <c r="B34" s="30"/>
      <c r="C34" s="30"/>
      <c r="D34" s="30"/>
    </row>
    <row r="35" customFormat="false" ht="16.5" hidden="false" customHeight="true" outlineLevel="0" collapsed="false">
      <c r="A35" s="22" t="s">
        <v>103</v>
      </c>
      <c r="B35" s="22"/>
      <c r="C35" s="22"/>
      <c r="D35" s="22"/>
    </row>
  </sheetData>
  <mergeCells count="3">
    <mergeCell ref="A1:D1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3" min="2" style="1" width="12"/>
    <col collapsed="false" customWidth="true" hidden="false" outlineLevel="0" max="14" min="14" style="1" width="30"/>
    <col collapsed="false" customWidth="true" hidden="false" outlineLevel="0" max="15" min="15" style="1" width="12"/>
  </cols>
  <sheetData>
    <row r="1" customFormat="false" ht="21" hidden="false" customHeight="true" outlineLevel="0" collapsed="false">
      <c r="A1" s="38" t="s">
        <v>104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customFormat="false" ht="16.5" hidden="false" customHeight="true" outlineLevel="0" collapsed="false">
      <c r="N2" s="5" t="s">
        <v>105</v>
      </c>
      <c r="O2" s="16" t="n">
        <v>0.004</v>
      </c>
    </row>
    <row r="3" customFormat="false" ht="16.5" hidden="false" customHeight="true" outlineLevel="0" collapsed="false">
      <c r="A3" s="3" t="s">
        <v>78</v>
      </c>
      <c r="B3" s="25" t="s">
        <v>106</v>
      </c>
      <c r="C3" s="25" t="s">
        <v>107</v>
      </c>
      <c r="D3" s="25" t="s">
        <v>108</v>
      </c>
      <c r="E3" s="25" t="s">
        <v>109</v>
      </c>
      <c r="F3" s="25" t="s">
        <v>110</v>
      </c>
      <c r="G3" s="25" t="s">
        <v>111</v>
      </c>
      <c r="H3" s="25" t="s">
        <v>112</v>
      </c>
      <c r="I3" s="25" t="s">
        <v>113</v>
      </c>
      <c r="J3" s="25" t="s">
        <v>114</v>
      </c>
      <c r="K3" s="25" t="s">
        <v>115</v>
      </c>
      <c r="L3" s="25" t="s">
        <v>116</v>
      </c>
      <c r="M3" s="25" t="s">
        <v>117</v>
      </c>
      <c r="N3" s="5" t="s">
        <v>118</v>
      </c>
      <c r="O3" s="16" t="n">
        <v>0.1</v>
      </c>
    </row>
    <row r="4" customFormat="false" ht="16.5" hidden="false" customHeight="true" outlineLevel="0" collapsed="false">
      <c r="A4" s="5" t="s">
        <v>119</v>
      </c>
      <c r="B4" s="12" t="n">
        <v>20000</v>
      </c>
      <c r="C4" s="12" t="n">
        <v>30000</v>
      </c>
      <c r="D4" s="12" t="n">
        <v>45000</v>
      </c>
      <c r="E4" s="12" t="n">
        <v>60000</v>
      </c>
      <c r="F4" s="12" t="n">
        <v>75000</v>
      </c>
      <c r="G4" s="12" t="n">
        <v>90000</v>
      </c>
      <c r="H4" s="12" t="n">
        <v>105000</v>
      </c>
      <c r="I4" s="12" t="n">
        <v>115000</v>
      </c>
      <c r="J4" s="12" t="n">
        <v>125000</v>
      </c>
      <c r="K4" s="12" t="n">
        <v>135000</v>
      </c>
      <c r="L4" s="12" t="n">
        <v>145000</v>
      </c>
      <c r="M4" s="12" t="n">
        <v>150000</v>
      </c>
      <c r="N4" s="5" t="s">
        <v>120</v>
      </c>
      <c r="O4" s="39" t="n">
        <f aca="false">가정!C38</f>
        <v>0.45</v>
      </c>
    </row>
    <row r="5" customFormat="false" ht="16.5" hidden="false" customHeight="true" outlineLevel="0" collapsed="false">
      <c r="A5" s="5" t="s">
        <v>80</v>
      </c>
      <c r="B5" s="33" t="n">
        <f aca="false">B4*$O$4</f>
        <v>9000</v>
      </c>
      <c r="C5" s="33" t="n">
        <f aca="false">C4*$O$4</f>
        <v>13500</v>
      </c>
      <c r="D5" s="33" t="n">
        <f aca="false">D4*$O$4</f>
        <v>20250</v>
      </c>
      <c r="E5" s="33" t="n">
        <f aca="false">E4*$O$4</f>
        <v>27000</v>
      </c>
      <c r="F5" s="33" t="n">
        <f aca="false">F4*$O$4</f>
        <v>33750</v>
      </c>
      <c r="G5" s="33" t="n">
        <f aca="false">G4*$O$4</f>
        <v>40500</v>
      </c>
      <c r="H5" s="33" t="n">
        <f aca="false">H4*$O$4</f>
        <v>47250</v>
      </c>
      <c r="I5" s="33" t="n">
        <f aca="false">I4*$O$4</f>
        <v>51750</v>
      </c>
      <c r="J5" s="33" t="n">
        <f aca="false">J4*$O$4</f>
        <v>56250</v>
      </c>
      <c r="K5" s="33" t="n">
        <f aca="false">K4*$O$4</f>
        <v>60750</v>
      </c>
      <c r="L5" s="33" t="n">
        <f aca="false">L4*$O$4</f>
        <v>65250</v>
      </c>
      <c r="M5" s="33" t="n">
        <f aca="false">M4*$O$4</f>
        <v>67500</v>
      </c>
      <c r="N5" s="5" t="s">
        <v>121</v>
      </c>
      <c r="O5" s="39" t="n">
        <f aca="false">가정!D39</f>
        <v>0.015</v>
      </c>
    </row>
    <row r="6" customFormat="false" ht="16.5" hidden="false" customHeight="true" outlineLevel="0" collapsed="false">
      <c r="A6" s="5" t="s">
        <v>81</v>
      </c>
      <c r="B6" s="33" t="n">
        <f aca="false">B5*$O$5</f>
        <v>135</v>
      </c>
      <c r="C6" s="33" t="n">
        <f aca="false">C5*$O$5</f>
        <v>202.5</v>
      </c>
      <c r="D6" s="33" t="n">
        <f aca="false">D5*$O$5</f>
        <v>303.75</v>
      </c>
      <c r="E6" s="33" t="n">
        <f aca="false">E5*$O$5</f>
        <v>405</v>
      </c>
      <c r="F6" s="33" t="n">
        <f aca="false">F5*$O$5</f>
        <v>506.25</v>
      </c>
      <c r="G6" s="33" t="n">
        <f aca="false">G5*$O$5</f>
        <v>607.5</v>
      </c>
      <c r="H6" s="33" t="n">
        <f aca="false">H5*$O$5</f>
        <v>708.75</v>
      </c>
      <c r="I6" s="33" t="n">
        <f aca="false">I5*$O$5</f>
        <v>776.25</v>
      </c>
      <c r="J6" s="33" t="n">
        <f aca="false">J5*$O$5</f>
        <v>843.75</v>
      </c>
      <c r="K6" s="33" t="n">
        <f aca="false">K5*$O$5</f>
        <v>911.25</v>
      </c>
      <c r="L6" s="33" t="n">
        <f aca="false">L5*$O$5</f>
        <v>978.75</v>
      </c>
      <c r="M6" s="33" t="n">
        <f aca="false">M5*$O$5</f>
        <v>1012.5</v>
      </c>
      <c r="N6" s="5" t="s">
        <v>122</v>
      </c>
      <c r="O6" s="39" t="n">
        <f aca="false">가정!D40</f>
        <v>0.01</v>
      </c>
    </row>
    <row r="7" customFormat="false" ht="15" hidden="false" customHeight="true" outlineLevel="0" collapsed="false">
      <c r="A7" s="5" t="s">
        <v>82</v>
      </c>
      <c r="B7" s="33" t="n">
        <f aca="false">B5*$O$6</f>
        <v>90</v>
      </c>
      <c r="C7" s="33" t="n">
        <f aca="false">C5*$O$6</f>
        <v>135</v>
      </c>
      <c r="D7" s="33" t="n">
        <f aca="false">D5*$O$6</f>
        <v>202.5</v>
      </c>
      <c r="E7" s="33" t="n">
        <f aca="false">E5*$O$6</f>
        <v>270</v>
      </c>
      <c r="F7" s="33" t="n">
        <f aca="false">F5*$O$6</f>
        <v>337.5</v>
      </c>
      <c r="G7" s="33" t="n">
        <f aca="false">G5*$O$6</f>
        <v>405</v>
      </c>
      <c r="H7" s="33" t="n">
        <f aca="false">H5*$O$6</f>
        <v>472.5</v>
      </c>
      <c r="I7" s="33" t="n">
        <f aca="false">I5*$O$6</f>
        <v>517.5</v>
      </c>
      <c r="J7" s="33" t="n">
        <f aca="false">J5*$O$6</f>
        <v>562.5</v>
      </c>
      <c r="K7" s="33" t="n">
        <f aca="false">K5*$O$6</f>
        <v>607.5</v>
      </c>
      <c r="L7" s="33" t="n">
        <f aca="false">L5*$O$6</f>
        <v>652.5</v>
      </c>
      <c r="M7" s="33" t="n">
        <f aca="false">M5*$O$6</f>
        <v>675</v>
      </c>
    </row>
    <row r="8" customFormat="false" ht="15" hidden="false" customHeight="true" outlineLevel="0" collapsed="false">
      <c r="A8" s="5" t="s">
        <v>123</v>
      </c>
      <c r="B8" s="33" t="n">
        <f aca="false">B5*$O$2</f>
        <v>36</v>
      </c>
      <c r="C8" s="33" t="n">
        <f aca="false">C5*$O$2</f>
        <v>54</v>
      </c>
      <c r="D8" s="33" t="n">
        <f aca="false">D5*$O$2</f>
        <v>81</v>
      </c>
      <c r="E8" s="33" t="n">
        <f aca="false">E5*$O$2</f>
        <v>108</v>
      </c>
      <c r="F8" s="33" t="n">
        <f aca="false">F5*$O$2</f>
        <v>135</v>
      </c>
      <c r="G8" s="33" t="n">
        <f aca="false">G5*$O$2</f>
        <v>162</v>
      </c>
      <c r="H8" s="33" t="n">
        <f aca="false">H5*$O$2</f>
        <v>189</v>
      </c>
      <c r="I8" s="33" t="n">
        <f aca="false">I5*$O$2</f>
        <v>207</v>
      </c>
      <c r="J8" s="33" t="n">
        <f aca="false">J5*$O$2</f>
        <v>225</v>
      </c>
      <c r="K8" s="33" t="n">
        <f aca="false">K5*$O$2</f>
        <v>243</v>
      </c>
      <c r="L8" s="33" t="n">
        <f aca="false">L5*$O$2</f>
        <v>261</v>
      </c>
      <c r="M8" s="33" t="n">
        <f aca="false">M5*$O$2</f>
        <v>270</v>
      </c>
    </row>
    <row r="9" customFormat="false" ht="15" hidden="false" customHeight="true" outlineLevel="0" collapsed="false">
      <c r="A9" s="5" t="s">
        <v>83</v>
      </c>
      <c r="B9" s="33" t="n">
        <f aca="false">B8</f>
        <v>36</v>
      </c>
      <c r="C9" s="33" t="n">
        <f aca="false">B9*(1-$O$3)+C8</f>
        <v>86.4</v>
      </c>
      <c r="D9" s="33" t="n">
        <f aca="false">C9*(1-$O$3)+D8</f>
        <v>158.76</v>
      </c>
      <c r="E9" s="33" t="n">
        <f aca="false">D9*(1-$O$3)+E8</f>
        <v>250.884</v>
      </c>
      <c r="F9" s="33" t="n">
        <f aca="false">E9*(1-$O$3)+F8</f>
        <v>360.7956</v>
      </c>
      <c r="G9" s="33" t="n">
        <f aca="false">F9*(1-$O$3)+G8</f>
        <v>486.71604</v>
      </c>
      <c r="H9" s="33" t="n">
        <f aca="false">G9*(1-$O$3)+H8</f>
        <v>627.044436</v>
      </c>
      <c r="I9" s="33" t="n">
        <f aca="false">H9*(1-$O$3)+I8</f>
        <v>771.3399924</v>
      </c>
      <c r="J9" s="33" t="n">
        <f aca="false">I9*(1-$O$3)+J8</f>
        <v>919.20599316</v>
      </c>
      <c r="K9" s="33" t="n">
        <f aca="false">J9*(1-$O$3)+K8</f>
        <v>1070.285393844</v>
      </c>
      <c r="L9" s="33" t="n">
        <f aca="false">K9*(1-$O$3)+L8</f>
        <v>1224.2568544596</v>
      </c>
      <c r="M9" s="33" t="n">
        <f aca="false">L9*(1-$O$3)+M8</f>
        <v>1371.83116901364</v>
      </c>
    </row>
    <row r="10" customFormat="false" ht="16.5" hidden="false" customHeight="true" outlineLevel="0" collapsed="false">
      <c r="A10" s="5" t="s">
        <v>124</v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80</v>
      </c>
      <c r="G10" s="12" t="n">
        <v>120</v>
      </c>
      <c r="H10" s="12" t="n">
        <v>150</v>
      </c>
      <c r="I10" s="12" t="n">
        <v>180</v>
      </c>
      <c r="J10" s="12" t="n">
        <v>210</v>
      </c>
      <c r="K10" s="12" t="n">
        <v>240</v>
      </c>
      <c r="L10" s="12" t="n">
        <v>270</v>
      </c>
      <c r="M10" s="12" t="n">
        <v>300</v>
      </c>
    </row>
    <row r="11" customFormat="false" ht="15" hidden="false" customHeight="true" outlineLevel="0" collapsed="false">
      <c r="A11" s="5" t="s">
        <v>84</v>
      </c>
      <c r="B11" s="33" t="n">
        <f aca="false">B10</f>
        <v>0</v>
      </c>
      <c r="C11" s="33" t="n">
        <f aca="false">B11*(1-$O$3)+C10</f>
        <v>0</v>
      </c>
      <c r="D11" s="33" t="n">
        <f aca="false">C11*(1-$O$3)+D10</f>
        <v>0</v>
      </c>
      <c r="E11" s="33" t="n">
        <f aca="false">D11*(1-$O$3)+E10</f>
        <v>0</v>
      </c>
      <c r="F11" s="33" t="n">
        <f aca="false">E11*(1-$O$3)+F10</f>
        <v>80</v>
      </c>
      <c r="G11" s="33" t="n">
        <f aca="false">F11*(1-$O$3)+G10</f>
        <v>192</v>
      </c>
      <c r="H11" s="33" t="n">
        <f aca="false">G11*(1-$O$3)+H10</f>
        <v>322.8</v>
      </c>
      <c r="I11" s="33" t="n">
        <f aca="false">H11*(1-$O$3)+I10</f>
        <v>470.52</v>
      </c>
      <c r="J11" s="33" t="n">
        <f aca="false">I11*(1-$O$3)+J10</f>
        <v>633.468</v>
      </c>
      <c r="K11" s="33" t="n">
        <f aca="false">J11*(1-$O$3)+K10</f>
        <v>810.1212</v>
      </c>
      <c r="L11" s="33" t="n">
        <f aca="false">K11*(1-$O$3)+L10</f>
        <v>999.10908</v>
      </c>
      <c r="M11" s="33" t="n">
        <f aca="false">L11*(1-$O$3)+M10</f>
        <v>1199.198172</v>
      </c>
    </row>
    <row r="12" customFormat="false" ht="15" hidden="false" customHeight="true" outlineLevel="0" collapsed="false">
      <c r="A12" s="34" t="s">
        <v>90</v>
      </c>
      <c r="B12" s="35" t="n">
        <f aca="false">B6*가정!B30+B9*가정!B31+B11*가정!B32+B7*가정!B33</f>
        <v>2772900</v>
      </c>
      <c r="C12" s="35" t="n">
        <f aca="false">C6*가정!B30+C9*가정!B31+C11*가정!B32+C7*가정!B33</f>
        <v>4480110</v>
      </c>
      <c r="D12" s="35" t="n">
        <f aca="false">D6*가정!B30+D9*가정!B31+D11*가정!B32+D7*가정!B33</f>
        <v>7008849</v>
      </c>
      <c r="E12" s="35" t="n">
        <f aca="false">E6*가정!B30+E9*가정!B31+E11*가정!B32+E7*가정!B33</f>
        <v>9733251.6</v>
      </c>
      <c r="F12" s="35" t="n">
        <f aca="false">F6*가정!B30+F9*가정!B31+F11*가정!B32+F7*가정!B33</f>
        <v>14225751.44</v>
      </c>
      <c r="G12" s="35" t="n">
        <f aca="false">G6*가정!B30+G9*가정!B31+G11*가정!B32+G7*가정!B33</f>
        <v>19513538.796</v>
      </c>
      <c r="H12" s="35" t="n">
        <f aca="false">H6*가정!B30+H9*가정!B31+H11*가정!B32+H7*가정!B33</f>
        <v>25318084.9164</v>
      </c>
      <c r="I12" s="35" t="n">
        <f aca="false">I6*가정!B30+I9*가정!B31+I11*가정!B32+I7*가정!B33</f>
        <v>30894488.92476</v>
      </c>
      <c r="J12" s="35" t="n">
        <f aca="false">J6*가정!B30+J9*가정!B31+J11*가정!B32+J7*가정!B33</f>
        <v>36809277.532284</v>
      </c>
      <c r="K12" s="35" t="n">
        <f aca="false">K6*가정!B30+K9*가정!B31+K11*가정!B32+K7*가정!B33</f>
        <v>43028612.2790556</v>
      </c>
      <c r="L12" s="35" t="n">
        <f aca="false">L6*가정!B30+L9*가정!B31+L11*가정!B32+L7*가정!B33</f>
        <v>49522038.55115</v>
      </c>
      <c r="M12" s="35" t="n">
        <f aca="false">M6*가정!B30+M9*가정!B31+M11*가정!B32+M7*가정!B33</f>
        <v>55568922.196035</v>
      </c>
    </row>
    <row r="13" customFormat="false" ht="15" hidden="false" customHeight="true" outlineLevel="0" collapsed="false">
      <c r="A13" s="5" t="s">
        <v>96</v>
      </c>
      <c r="B13" s="15" t="n">
        <f aca="false">B5*가정!B19+B6*가정!B20+B9*가정!B21+B11*가정!B22+B12*가정!B25+B7*가정!B33*가정!B27+B10*가정!B26</f>
        <v>717657.975</v>
      </c>
      <c r="C13" s="15" t="n">
        <f aca="false">C5*가정!B19+C6*가정!B20+C9*가정!B21+C11*가정!B22+C12*가정!B25+C7*가정!B33*가정!B27+C10*가정!B26</f>
        <v>1104465.9825</v>
      </c>
      <c r="D13" s="15" t="n">
        <f aca="false">D5*가정!B19+D6*가정!B20+D9*가정!B21+D11*가정!B22+D12*가정!B25+D7*가정!B33*가정!B27+D10*가정!B26</f>
        <v>1681880.09175</v>
      </c>
      <c r="E13" s="15" t="n">
        <f aca="false">E5*가정!B19+E6*가정!B20+E9*가정!B21+E11*가정!B22+E12*가정!B25+E7*가정!B33*가정!B27+E10*가정!B26</f>
        <v>2276361.4032</v>
      </c>
      <c r="F13" s="15" t="n">
        <f aca="false">F5*가정!B19+F6*가정!B20+F9*가정!B21+F11*가정!B22+F12*가정!B25+F7*가정!B33*가정!B27+F10*가정!B26</f>
        <v>2958427.19663</v>
      </c>
      <c r="G13" s="15" t="n">
        <f aca="false">G5*가정!B19+G6*가정!B20+G9*가정!B21+G11*가정!B22+G12*가정!B25+G7*가정!B33*가정!B27+G10*가정!B26</f>
        <v>3679607.023842</v>
      </c>
      <c r="H13" s="15" t="n">
        <f aca="false">H5*가정!B19+H6*가정!B20+H9*가정!B21+H11*가정!B22+H12*가정!B25+H7*가정!B33*가정!B27+H10*가정!B26</f>
        <v>4428761.4814578</v>
      </c>
      <c r="I13" s="15" t="n">
        <f aca="false">I5*가정!B19+I6*가정!B20+I9*가정!B21+I11*가정!B22+I12*가정!B25+I7*가정!B33*가정!B27+I10*가정!B26</f>
        <v>5024128.61268702</v>
      </c>
      <c r="J13" s="15" t="n">
        <f aca="false">J5*가정!B19+J6*가정!B20+J9*가정!B21+J11*가정!B22+J12*가정!B25+J7*가정!B33*가정!B27+J10*가정!B26</f>
        <v>5635565.43954332</v>
      </c>
      <c r="K13" s="15" t="n">
        <f aca="false">K5*가정!B19+K6*가정!B20+K9*가정!B21+K11*가정!B22+K12*가정!B25+K7*가정!B33*가정!B27+K10*가정!B26</f>
        <v>6261464.99246399</v>
      </c>
      <c r="L13" s="15" t="n">
        <f aca="false">L5*가정!B19+L6*가정!B20+L9*가정!B21+L11*가정!B22+L12*가정!B25+L7*가정!B33*가정!B27+L10*가정!B26</f>
        <v>6900380.99884259</v>
      </c>
      <c r="M13" s="15" t="n">
        <f aca="false">M5*가정!B19+M6*가정!B20+M9*가정!B21+M11*가정!B22+M12*가정!B25+M7*가정!B33*가정!B27+M10*가정!B26</f>
        <v>7371597.31958333</v>
      </c>
    </row>
    <row r="14" customFormat="false" ht="16.5" hidden="false" customHeight="true" outlineLevel="0" collapsed="false">
      <c r="A14" s="5" t="s">
        <v>125</v>
      </c>
      <c r="B14" s="17" t="n">
        <v>1200000</v>
      </c>
      <c r="C14" s="17" t="n">
        <v>1500000</v>
      </c>
      <c r="D14" s="17" t="n">
        <v>1900000</v>
      </c>
      <c r="E14" s="17" t="n">
        <v>2300000</v>
      </c>
      <c r="F14" s="17" t="n">
        <v>2700000</v>
      </c>
      <c r="G14" s="17" t="n">
        <v>3000000</v>
      </c>
      <c r="H14" s="17" t="n">
        <v>3300000</v>
      </c>
      <c r="I14" s="17" t="n">
        <v>3600000</v>
      </c>
      <c r="J14" s="17" t="n">
        <v>3800000</v>
      </c>
      <c r="K14" s="17" t="n">
        <v>4000000</v>
      </c>
      <c r="L14" s="17" t="n">
        <v>4100000</v>
      </c>
      <c r="M14" s="17" t="n">
        <v>4200000</v>
      </c>
    </row>
    <row r="15" customFormat="false" ht="16.5" hidden="false" customHeight="true" outlineLevel="0" collapsed="false">
      <c r="A15" s="36" t="s">
        <v>126</v>
      </c>
      <c r="B15" s="40" t="n">
        <f aca="false">B12-B13-B14</f>
        <v>855242.025</v>
      </c>
      <c r="C15" s="40" t="n">
        <f aca="false">C12-C13-C14</f>
        <v>1875644.0175</v>
      </c>
      <c r="D15" s="40" t="n">
        <f aca="false">D12-D13-D14</f>
        <v>3426968.90825</v>
      </c>
      <c r="E15" s="40" t="n">
        <f aca="false">E12-E13-E14</f>
        <v>5156890.1968</v>
      </c>
      <c r="F15" s="40" t="n">
        <f aca="false">F12-F13-F14</f>
        <v>8567324.24337</v>
      </c>
      <c r="G15" s="40" t="n">
        <f aca="false">G12-G13-G14</f>
        <v>12833931.772158</v>
      </c>
      <c r="H15" s="40" t="n">
        <f aca="false">H12-H13-H14</f>
        <v>17589323.4349422</v>
      </c>
      <c r="I15" s="40" t="n">
        <f aca="false">I12-I13-I14</f>
        <v>22270360.312073</v>
      </c>
      <c r="J15" s="40" t="n">
        <f aca="false">J12-J13-J14</f>
        <v>27373712.0927407</v>
      </c>
      <c r="K15" s="40" t="n">
        <f aca="false">K12-K13-K14</f>
        <v>32767147.2865916</v>
      </c>
      <c r="L15" s="40" t="n">
        <f aca="false">L12-L13-L14</f>
        <v>38521657.5523075</v>
      </c>
      <c r="M15" s="40" t="n">
        <f aca="false">M12-M13-M14</f>
        <v>43997324.8764517</v>
      </c>
    </row>
    <row r="16" customFormat="false" ht="15" hidden="false" customHeight="true" outlineLevel="0" collapsed="false">
      <c r="A16" s="20" t="s">
        <v>127</v>
      </c>
      <c r="B16" s="28" t="n">
        <f aca="false">B15</f>
        <v>855242.025</v>
      </c>
      <c r="C16" s="28" t="n">
        <f aca="false">B16+C15</f>
        <v>2730886.0425</v>
      </c>
      <c r="D16" s="28" t="n">
        <f aca="false">C16+D15</f>
        <v>6157854.95075</v>
      </c>
      <c r="E16" s="28" t="n">
        <f aca="false">D16+E15</f>
        <v>11314745.14755</v>
      </c>
      <c r="F16" s="28" t="n">
        <f aca="false">E16+F15</f>
        <v>19882069.39092</v>
      </c>
      <c r="G16" s="28" t="n">
        <f aca="false">F16+G15</f>
        <v>32716001.163078</v>
      </c>
      <c r="H16" s="28" t="n">
        <f aca="false">G16+H15</f>
        <v>50305324.5980202</v>
      </c>
      <c r="I16" s="28" t="n">
        <f aca="false">H16+I15</f>
        <v>72575684.9100932</v>
      </c>
      <c r="J16" s="28" t="n">
        <f aca="false">I16+J15</f>
        <v>99949397.0028339</v>
      </c>
      <c r="K16" s="28" t="n">
        <f aca="false">J16+K15</f>
        <v>132716544.289425</v>
      </c>
      <c r="L16" s="28" t="n">
        <f aca="false">K16+L15</f>
        <v>171238201.841733</v>
      </c>
      <c r="M16" s="28" t="n">
        <f aca="false">L16+M15</f>
        <v>215235526.718185</v>
      </c>
    </row>
    <row r="18" customFormat="false" ht="16.5" hidden="false" customHeight="true" outlineLevel="0" collapsed="false">
      <c r="A18" s="30" t="s">
        <v>128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</sheetData>
  <mergeCells count="2">
    <mergeCell ref="A1:M1"/>
    <mergeCell ref="A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5"/>
  </cols>
  <sheetData>
    <row r="1" customFormat="false" ht="21" hidden="false" customHeight="true" outlineLevel="0" collapsed="false">
      <c r="A1" s="23" t="s">
        <v>129</v>
      </c>
      <c r="B1" s="23"/>
      <c r="C1" s="23"/>
      <c r="D1" s="23"/>
      <c r="E1" s="23"/>
      <c r="F1" s="23"/>
    </row>
    <row r="3" customFormat="false" ht="16.5" hidden="false" customHeight="true" outlineLevel="0" collapsed="false">
      <c r="A3" s="3" t="s">
        <v>130</v>
      </c>
      <c r="B3" s="4"/>
      <c r="C3" s="4"/>
    </row>
    <row r="4" customFormat="false" ht="16.5" hidden="false" customHeight="true" outlineLevel="0" collapsed="false">
      <c r="A4" s="5" t="s">
        <v>131</v>
      </c>
      <c r="B4" s="26" t="n">
        <f aca="false">가정!C51</f>
        <v>650000</v>
      </c>
    </row>
    <row r="5" customFormat="false" ht="16.5" hidden="false" customHeight="true" outlineLevel="0" collapsed="false">
      <c r="A5" s="5" t="s">
        <v>132</v>
      </c>
      <c r="B5" s="26" t="n">
        <f aca="false">유닛이코노믹스!F4</f>
        <v>9563.895</v>
      </c>
    </row>
    <row r="6" customFormat="false" ht="16.5" hidden="false" customHeight="true" outlineLevel="0" collapsed="false">
      <c r="A6" s="5" t="s">
        <v>133</v>
      </c>
      <c r="B6" s="26" t="n">
        <f aca="false">유닛이코노믹스!F5</f>
        <v>9036.45</v>
      </c>
    </row>
    <row r="7" customFormat="false" ht="16.5" hidden="false" customHeight="true" outlineLevel="0" collapsed="false">
      <c r="A7" s="7" t="s">
        <v>134</v>
      </c>
      <c r="B7" s="41" t="n">
        <f aca="false">B4/B5</f>
        <v>67.9639414694536</v>
      </c>
    </row>
    <row r="8" customFormat="false" ht="16.5" hidden="false" customHeight="true" outlineLevel="0" collapsed="false">
      <c r="A8" s="7" t="s">
        <v>135</v>
      </c>
      <c r="B8" s="41" t="n">
        <f aca="false">B4/B6</f>
        <v>71.9309020688434</v>
      </c>
    </row>
    <row r="9" customFormat="false" ht="16.5" hidden="false" customHeight="true" outlineLevel="0" collapsed="false">
      <c r="A9" s="5" t="s">
        <v>136</v>
      </c>
      <c r="B9" s="42" t="n">
        <f aca="false">시나리오PL!B6</f>
        <v>360</v>
      </c>
    </row>
    <row r="10" customFormat="false" ht="16.5" hidden="false" customHeight="true" outlineLevel="0" collapsed="false">
      <c r="A10" s="5" t="s">
        <v>137</v>
      </c>
      <c r="B10" s="42" t="n">
        <f aca="false">시나리오PL!B8</f>
        <v>400</v>
      </c>
    </row>
    <row r="11" customFormat="false" ht="16.5" hidden="false" customHeight="true" outlineLevel="0" collapsed="false">
      <c r="A11" s="22" t="s">
        <v>138</v>
      </c>
      <c r="B11" s="22"/>
      <c r="C11" s="22"/>
      <c r="D11" s="22"/>
      <c r="E11" s="22"/>
      <c r="F11" s="22"/>
    </row>
    <row r="14" customFormat="false" ht="15" hidden="false" customHeight="true" outlineLevel="0" collapsed="false">
      <c r="A14" s="3" t="s">
        <v>139</v>
      </c>
      <c r="B14" s="4"/>
      <c r="C14" s="4"/>
      <c r="D14" s="4"/>
      <c r="E14" s="4"/>
      <c r="F14" s="4"/>
    </row>
    <row r="15" customFormat="false" ht="15" hidden="false" customHeight="true" outlineLevel="0" collapsed="false">
      <c r="A15" s="5" t="s">
        <v>140</v>
      </c>
      <c r="B15" s="43" t="n">
        <v>0.01</v>
      </c>
      <c r="C15" s="43" t="n">
        <v>0.015</v>
      </c>
      <c r="D15" s="43" t="n">
        <v>0.02</v>
      </c>
      <c r="E15" s="43" t="n">
        <v>0.025</v>
      </c>
      <c r="F15" s="43" t="n">
        <v>0.03</v>
      </c>
    </row>
    <row r="16" customFormat="false" ht="16.5" hidden="false" customHeight="true" outlineLevel="0" collapsed="false">
      <c r="A16" s="20" t="s">
        <v>126</v>
      </c>
      <c r="B16" s="40" t="n">
        <f aca="false">(가정!C37*가정!C38*B15*가정!B30+가정!C41*가정!B31+가정!C37*가정!C38*가정!C40*가정!B33)-((가정!C37*가정!C38*가정!B19+가정!C37*가정!C38*B15*가정!B20+가정!C41*가정!B21)+(가정!C37*가정!C38*B15*가정!B30+가정!C41*가정!B31+가정!C37*가정!C38*가정!C40*가정!B33)*가정!B25+가정!C37*가정!C38*가정!C40*가정!B33*가정!B27)-가정!C51</f>
        <v>5563689.1</v>
      </c>
      <c r="C16" s="40" t="n">
        <f aca="false">(가정!C37*가정!C38*C15*가정!B30+가정!C41*가정!B31+가정!C37*가정!C38*가정!C40*가정!B33)-((가정!C37*가정!C38*가정!B19+가정!C37*가정!C38*C15*가정!B20+가정!C41*가정!B21)+(가정!C37*가정!C38*C15*가정!B30+가정!C41*가정!B31+가정!C37*가정!C38*가정!C40*가정!B33)*가정!B25+가정!C37*가정!C38*가정!C40*가정!B33*가정!B27)-가정!C51</f>
        <v>6424439.65</v>
      </c>
      <c r="D16" s="40" t="n">
        <f aca="false">(가정!C37*가정!C38*D15*가정!B30+가정!C41*가정!B31+가정!C37*가정!C38*가정!C40*가정!B33)-((가정!C37*가정!C38*가정!B19+가정!C37*가정!C38*D15*가정!B20+가정!C41*가정!B21)+(가정!C37*가정!C38*D15*가정!B30+가정!C41*가정!B31+가정!C37*가정!C38*가정!C40*가정!B33)*가정!B25+가정!C37*가정!C38*가정!C40*가정!B33*가정!B27)-가정!C51</f>
        <v>7285190.2</v>
      </c>
      <c r="E16" s="40" t="n">
        <f aca="false">(가정!C37*가정!C38*E15*가정!B30+가정!C41*가정!B31+가정!C37*가정!C38*가정!C40*가정!B33)-((가정!C37*가정!C38*가정!B19+가정!C37*가정!C38*E15*가정!B20+가정!C41*가정!B21)+(가정!C37*가정!C38*E15*가정!B30+가정!C41*가정!B31+가정!C37*가정!C38*가정!C40*가정!B33)*가정!B25+가정!C37*가정!C38*가정!C40*가정!B33*가정!B27)-가정!C51</f>
        <v>8145940.75</v>
      </c>
      <c r="F16" s="40" t="n">
        <f aca="false">(가정!C37*가정!C38*F15*가정!B30+가정!C41*가정!B31+가정!C37*가정!C38*가정!C40*가정!B33)-((가정!C37*가정!C38*가정!B19+가정!C37*가정!C38*F15*가정!B20+가정!C41*가정!B21)+(가정!C37*가정!C38*F15*가정!B30+가정!C41*가정!B31+가정!C37*가정!C38*가정!C40*가정!B33)*가정!B25+가정!C37*가정!C38*가정!C40*가정!B33*가정!B27)-가정!C51</f>
        <v>9006691.3</v>
      </c>
    </row>
    <row r="19" customFormat="false" ht="15" hidden="false" customHeight="true" outlineLevel="0" collapsed="false">
      <c r="A19" s="3" t="s">
        <v>141</v>
      </c>
      <c r="B19" s="4"/>
      <c r="C19" s="4"/>
      <c r="D19" s="4"/>
      <c r="E19" s="4"/>
      <c r="F19" s="4"/>
    </row>
    <row r="20" customFormat="false" ht="15" hidden="false" customHeight="true" outlineLevel="0" collapsed="false">
      <c r="A20" s="5" t="s">
        <v>142</v>
      </c>
      <c r="B20" s="44" t="n">
        <v>200</v>
      </c>
      <c r="C20" s="44" t="n">
        <v>400</v>
      </c>
      <c r="D20" s="44" t="n">
        <v>600</v>
      </c>
      <c r="E20" s="44" t="n">
        <v>800</v>
      </c>
      <c r="F20" s="44" t="n">
        <v>1000</v>
      </c>
    </row>
    <row r="21" customFormat="false" ht="16.5" hidden="false" customHeight="true" outlineLevel="0" collapsed="false">
      <c r="A21" s="20" t="s">
        <v>126</v>
      </c>
      <c r="B21" s="40" t="n">
        <f aca="false">(가정!C37*가정!C38*가정!C39*가정!B30+B20*가정!B31+가정!C37*가정!C38*가정!C40*가정!B33)-((가정!C37*가정!C38*가정!B19+가정!C37*가정!C38*가정!C39*가정!B20+B20*가정!B21)+(가정!C37*가정!C38*가정!C39*가정!B30+B20*가정!B31+가정!C37*가정!C38*가정!C40*가정!B33)*가정!B25+가정!C37*가정!C38*가정!C40*가정!B33*가정!B27)-가정!C51</f>
        <v>5477900.2</v>
      </c>
      <c r="C21" s="40" t="n">
        <f aca="false">(가정!C37*가정!C38*가정!C39*가정!B30+C20*가정!B31+가정!C37*가정!C38*가정!C40*가정!B33)-((가정!C37*가정!C38*가정!B19+가정!C37*가정!C38*가정!C39*가정!B20+C20*가정!B21)+(가정!C37*가정!C38*가정!C39*가정!B30+C20*가정!B31+가정!C37*가정!C38*가정!C40*가정!B33)*가정!B25+가정!C37*가정!C38*가정!C40*가정!B33*가정!B27)-가정!C51</f>
        <v>7285190.2</v>
      </c>
      <c r="D21" s="40" t="n">
        <f aca="false">(가정!C37*가정!C38*가정!C39*가정!B30+D20*가정!B31+가정!C37*가정!C38*가정!C40*가정!B33)-((가정!C37*가정!C38*가정!B19+가정!C37*가정!C38*가정!C39*가정!B20+D20*가정!B21)+(가정!C37*가정!C38*가정!C39*가정!B30+D20*가정!B31+가정!C37*가정!C38*가정!C40*가정!B33)*가정!B25+가정!C37*가정!C38*가정!C40*가정!B33*가정!B27)-가정!C51</f>
        <v>9092480.2</v>
      </c>
      <c r="E21" s="40" t="n">
        <f aca="false">(가정!C37*가정!C38*가정!C39*가정!B30+E20*가정!B31+가정!C37*가정!C38*가정!C40*가정!B33)-((가정!C37*가정!C38*가정!B19+가정!C37*가정!C38*가정!C39*가정!B20+E20*가정!B21)+(가정!C37*가정!C38*가정!C39*가정!B30+E20*가정!B31+가정!C37*가정!C38*가정!C40*가정!B33)*가정!B25+가정!C37*가정!C38*가정!C40*가정!B33*가정!B27)-가정!C51</f>
        <v>10899770.2</v>
      </c>
      <c r="F21" s="40" t="n">
        <f aca="false">(가정!C37*가정!C38*가정!C39*가정!B30+F20*가정!B31+가정!C37*가정!C38*가정!C40*가정!B33)-((가정!C37*가정!C38*가정!B19+가정!C37*가정!C38*가정!C39*가정!B20+F20*가정!B21)+(가정!C37*가정!C38*가정!C39*가정!B30+F20*가정!B31+가정!C37*가정!C38*가정!C40*가정!B33)*가정!B25+가정!C37*가정!C38*가정!C40*가정!B33*가정!B27)-가정!C51</f>
        <v>12707060.2</v>
      </c>
    </row>
    <row r="24" customFormat="false" ht="16.5" hidden="false" customHeight="true" outlineLevel="0" collapsed="false">
      <c r="A24" s="3" t="s">
        <v>143</v>
      </c>
      <c r="B24" s="4"/>
      <c r="C24" s="4"/>
    </row>
    <row r="25" customFormat="false" ht="16.5" hidden="false" customHeight="true" outlineLevel="0" collapsed="false">
      <c r="A25" s="5" t="s">
        <v>144</v>
      </c>
      <c r="B25" s="26" t="n">
        <f aca="false">유닛이코노믹스!F6</f>
        <v>19047.2</v>
      </c>
    </row>
    <row r="26" customFormat="false" ht="16.5" hidden="false" customHeight="true" outlineLevel="0" collapsed="false">
      <c r="A26" s="5" t="s">
        <v>145</v>
      </c>
      <c r="B26" s="37" t="n">
        <f aca="false">B25*400</f>
        <v>7618880</v>
      </c>
    </row>
    <row r="27" customFormat="false" ht="16.5" hidden="false" customHeight="true" outlineLevel="0" collapsed="false">
      <c r="A27" s="5" t="s">
        <v>146</v>
      </c>
      <c r="B27" s="37" t="n">
        <f aca="false">B25*800</f>
        <v>15237760</v>
      </c>
    </row>
    <row r="28" customFormat="false" ht="16.5" hidden="false" customHeight="true" outlineLevel="0" collapsed="false">
      <c r="A28" s="22" t="s">
        <v>147</v>
      </c>
      <c r="B28" s="22"/>
      <c r="C28" s="22"/>
      <c r="D28" s="22"/>
      <c r="E28" s="22"/>
      <c r="F28" s="22"/>
    </row>
  </sheetData>
  <mergeCells count="3">
    <mergeCell ref="A1:F1"/>
    <mergeCell ref="A11:F11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2026-08-17T09:49:51Z</dcterms:created>
  <dc:creator>openpyxl</dc:creator>
  <dc:description/>
  <dc:language>en-US</dc:language>
  <cp:lastModifiedBy/>
  <dcterms:modified xsi:type="dcterms:W3CDTF">2026-08-17T09:53:29Z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